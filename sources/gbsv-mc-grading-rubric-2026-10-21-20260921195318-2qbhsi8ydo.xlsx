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susanne.suter@fhnw.ch/Downloads/"/>
    </mc:Choice>
  </mc:AlternateContent>
  <xr:revisionPtr revIDLastSave="0" documentId="13_ncr:1_{FA199465-FFE2-4F42-AAA4-9D89C3558DC6}" xr6:coauthVersionLast="47" xr6:coauthVersionMax="47" xr10:uidLastSave="{00000000-0000-0000-0000-000000000000}"/>
  <bookViews>
    <workbookView xWindow="3340" yWindow="1540" windowWidth="34760" windowHeight="18040" activeTab="5" xr2:uid="{291C89BA-2D8E-4489-94BE-542C4F10DADE}"/>
  </bookViews>
  <sheets>
    <sheet name="overview_grade" sheetId="9" r:id="rId1"/>
    <sheet name="task1" sheetId="4" r:id="rId2"/>
    <sheet name="task2" sheetId="7" r:id="rId3"/>
    <sheet name="task3" sheetId="8" r:id="rId4"/>
    <sheet name="gbsv_interpretations-indicators" sheetId="5" r:id="rId5"/>
    <sheet name="oral_assessment" sheetId="10"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0" l="1"/>
  <c r="F3" i="10"/>
  <c r="G3" i="10"/>
  <c r="G7" i="10"/>
  <c r="G6" i="10"/>
  <c r="G5" i="10"/>
  <c r="G4" i="10"/>
  <c r="F7" i="10"/>
  <c r="F6" i="10"/>
  <c r="F5" i="10"/>
  <c r="F4" i="10"/>
  <c r="E7" i="10"/>
  <c r="E6" i="10"/>
  <c r="E5" i="10"/>
  <c r="E4" i="10"/>
  <c r="H8" i="10"/>
  <c r="F10" i="9" s="1"/>
  <c r="H10" i="9" s="1"/>
  <c r="E3" i="9" l="1"/>
  <c r="A2" i="9" l="1"/>
  <c r="C2" i="9"/>
  <c r="D2" i="9"/>
  <c r="E2" i="9"/>
  <c r="G2" i="9"/>
  <c r="F8" i="9"/>
  <c r="F10" i="8"/>
  <c r="F8" i="8"/>
  <c r="F6" i="8"/>
  <c r="F4" i="8"/>
  <c r="F2" i="8"/>
  <c r="F10" i="7"/>
  <c r="F8" i="7"/>
  <c r="F6" i="7"/>
  <c r="F4" i="7"/>
  <c r="F2" i="7"/>
  <c r="F10" i="4"/>
  <c r="F8" i="4"/>
  <c r="F6" i="4"/>
  <c r="F4" i="4"/>
  <c r="F2" i="4"/>
  <c r="E6" i="9"/>
  <c r="E5" i="9"/>
  <c r="E4" i="9"/>
  <c r="D6" i="9"/>
  <c r="D5" i="9"/>
  <c r="D4" i="9"/>
  <c r="D3" i="9"/>
  <c r="G6" i="9"/>
  <c r="G5" i="9"/>
  <c r="G4" i="9"/>
  <c r="G3" i="9"/>
  <c r="C6" i="9"/>
  <c r="C5" i="9"/>
  <c r="C4" i="9"/>
  <c r="C3" i="9"/>
  <c r="A6" i="9"/>
  <c r="A5" i="9"/>
  <c r="A4" i="9"/>
  <c r="A3" i="9"/>
  <c r="H12" i="8"/>
  <c r="H12" i="7"/>
  <c r="H12" i="4"/>
  <c r="C7" i="9" l="1"/>
  <c r="D7" i="9"/>
  <c r="G7" i="9"/>
  <c r="G9" i="9" s="1"/>
  <c r="F12" i="8"/>
  <c r="E7" i="9"/>
  <c r="G12" i="8"/>
  <c r="F12" i="7"/>
  <c r="G12" i="7"/>
  <c r="F12" i="4"/>
  <c r="G12" i="4"/>
  <c r="F7" i="9" l="1"/>
  <c r="F9" i="9" s="1"/>
  <c r="H9" i="9" l="1"/>
  <c r="H11" i="9" s="1"/>
</calcChain>
</file>

<file path=xl/sharedStrings.xml><?xml version="1.0" encoding="utf-8"?>
<sst xmlns="http://schemas.openxmlformats.org/spreadsheetml/2006/main" count="220" uniqueCount="92">
  <si>
    <t>Interprets and contextualizes results in relation to the use case, structures the analysis logically, and communicates findings clearly and convincingly.</t>
  </si>
  <si>
    <t>Data &amp; Domain</t>
  </si>
  <si>
    <t>Methodological</t>
  </si>
  <si>
    <t>Technical Implementation</t>
  </si>
  <si>
    <t>Evaluation</t>
  </si>
  <si>
    <t>Analytical &amp; Communication</t>
  </si>
  <si>
    <t>Use case and data are generally appropriate but weakly justified or loosely aligned.</t>
  </si>
  <si>
    <t>Weight</t>
  </si>
  <si>
    <t>Points Achieved</t>
  </si>
  <si>
    <t>Competence</t>
  </si>
  <si>
    <t>Interpretation</t>
  </si>
  <si>
    <t>Illustrative Indicators Strong Performance (Non-Exhaustive)</t>
  </si>
  <si>
    <t>Illustrative Indicators Weak Performance (Non-Exhaustive)</t>
  </si>
  <si>
    <t>- Clear and relevant observations (what is seen in the results).
-Explicit interpretation (what these observations mean for the defined use case).
- Critical discussion (strengths, limitations, and boundary conditions of the chosen approach).
- Reflection on the applicability of the results to the problem statement.
- Coherent narrative connecting country → use case → method → results → meaning.</t>
  </si>
  <si>
    <t>- Observations (what is seen) reported without interpretation.
- Interpretation without linking back to the use case.
- No discussion of limitations or applicability.
- Descriptive reporting instead of analytical reasoning.
- Weak or unclear argumentative structure.</t>
  </si>
  <si>
    <t>In gbsv, this includes quantitatively and visually assessing results (e.g., aliasing effects, segmentation accuracy, object counts, statistical summaries), systematically exploring parameter effects where relevant, and linking evaluation results back to the use case.
Focus: Does it work? How well? Under what conditions?</t>
  </si>
  <si>
    <t>In gbsv, this includes interpreting results explicitly in relation to the defined use case, explaining their meaning and applicability to the problem statement, discussing strengths and limitations of the chosen approach, and communicating the analysis in a clear and logically structured manner, structuring the submission with a coherent narrative related to the chosen country.
Focus: Meaning relative to the use case, applicability, critical reflection, and coherent structure</t>
  </si>
  <si>
    <t>Notes</t>
  </si>
  <si>
    <t>Total Points</t>
  </si>
  <si>
    <t>Methodological Design</t>
  </si>
  <si>
    <t>Task1</t>
  </si>
  <si>
    <t>Task2</t>
  </si>
  <si>
    <t>Task3</t>
  </si>
  <si>
    <t>Subtotal</t>
  </si>
  <si>
    <t>Max Points</t>
  </si>
  <si>
    <t>Bonus credits</t>
  </si>
  <si>
    <t>Designs and justifies suitable methodological approaches, including the selection of models, parameters, and where appropriate integrates advanced or original methods.</t>
  </si>
  <si>
    <t>Methods are missing, incorrect, unsuitable, or fundamentally misunderstood.</t>
  </si>
  <si>
    <t>Use case and data are missing, unclear, inappropriate, or fundamentally misaligned.</t>
  </si>
  <si>
    <t>In gbsv, this includes selecting and justifying appropriate classical signal and image processing methods (e.g., sampling analysis, convolution, correlation, thresholding, morphology), choosing suitable parameters (kernel size, thresholds, structuring elements), and explaining why these methods are appropriate for the defined use case.
Focus: WHAT method and WHY, and HOW it relates to the signal</t>
  </si>
  <si>
    <t>In gbsv, this includes clearly defining a signal- or image-based problem (e.g., aliasing, periodicity detection, filtering, segmentation), selecting appropriate 1D signals or 2D images related to the chosen country, and justifying why the signal characteristics (sampling rate, frequency content, noise, object separability, contrast) are suitable for the defined use case.
Focus: framing and data properties and their alignment with the task</t>
  </si>
  <si>
    <t>- Clear and precise problem formulation (WHAT and WHY) a well-defined analytical objective.
- Explicit explanation of why the chosen signal or image is appropriate for the specific analytical objective.
- Discussion of relevant signal/image characteristics (e.g., periodicity, bandwidth, resolution, noise, contrast) and how they enable or constrain the analysis.
- Coherent and explicit link between use case → data selection → expected observable patterns.
- Evidence that the data contains the relevant structures for the task (e.g., expected periodicity, detectable features, separable objects).
- Data sources clearly referenced and appropriate for the use case</t>
  </si>
  <si>
    <t>- Use case or problem statement is missing, vague, or not translated into a concrete analytical objective.
- Signal/image chosen without justification or based on convenience rather than suitability.
- No or weak link between data properties and the intended analysis (e.g., periodicity claimed but not evident in the signal).
- Relevant signal/image characteristics are listed but not interpreted.
- Data does not clearly contain the structures required for the task.
- Data sources missing or not appropriate for the use case.</t>
  </si>
  <si>
    <t>- Clear reasoning of why a specific method (e.g., convolution, correlation, thresholding, Hough transform) is appropriate for the defined use case.
- Reasoned choice of 1-3 parameters grounded in signal/image properties (e.g., expected period, noise level, spatial scale).
- Comparison of alternative approaches and explanation of trade-offs.
- Explicit distinction between different methodological roles where relevant (e.g., autocorrelation vs. cross-correlation).
- Explicit link between data characteristics, method choice, and expected outcome.</t>
  </si>
  <si>
    <t>- Method chosen without explanation or with only generic statements (“to detect patterns”).
- Parameters selected arbitrarily without reasoning or without relation to the signal/image or too many parameters.
- Using a method because it was shown in class, without justification.
- No clear link between the analytical objective and the selected method.
- Different methods mentioned but not clearly distinguished in their purpose.</t>
  </si>
  <si>
    <t>In gbsv, this includes correctly implementing core algorithms (e.g., Nyquist rate calculation, convolution, deconvolution, correlation, segmentation steps), ensuring that results are technically valid and usable for the intended task. Intermediate steps should be clearly demonstrated, and the full computational process should be reproducible, transparent, and traceable.
Focus: HOW it is implemented</t>
  </si>
  <si>
    <t>Bonus Credits</t>
  </si>
  <si>
    <t>3 Points</t>
  </si>
  <si>
    <t>2 Points</t>
  </si>
  <si>
    <t>0 Points</t>
  </si>
  <si>
    <t>1 Points</t>
  </si>
  <si>
    <t>- Use of appropriate quantitative measures (e.g. error metrics, similarity measures, counts, domain-specific indicators)
- At least one clearly defined and justified metric
- Quantitative evaluation supported by visualizations where helpful
- Systematic variation of key parameters or conditions where relevant
- Clear link between evaluation results and the use case
- Direct comparability of results across configurations or conditions
- Focus on a small number of meaningful factors rather than exhaustive exploration</t>
  </si>
  <si>
    <t xml:space="preserve">- Only qualitative visual inspection without metrics
- Metrics unrelated to the use case
- Too many metrics without justification
- No structured comparison across configurations or conditions
- No validation or interpretation of results in relation to the task
</t>
  </si>
  <si>
    <t>Designs and conducts meaningful, use-case-specific evaluations using appropriate metrics and visualizations to enable clear and structured comparison of results.</t>
  </si>
  <si>
    <t xml:space="preserve"> Implementation is present but unreliable or inconsistent. Results are only partially usable. Key computational steps are unclear, incomplete, or inconsistently executed, making it difficult to trace how results are produced.</t>
  </si>
  <si>
    <t>Implementation is incorrect, incomplete, or non-functional. Results are not usable. Core computational steps are missing or fundamentally flawed, and results cannot be traced at all.</t>
  </si>
  <si>
    <t>Implements algorithms and methods correctly and produces technically valid results. Computational steps and intermediate results are presented clearly and in a fully traceable manner, allowing the workflow from input to output to be followed. The implementation is well-structured, focused, and based on a small number of coherent, clearly organized experiments.</t>
  </si>
  <si>
    <t>I see something, but cannot really compare</t>
  </si>
  <si>
    <t>I can compare, but not decide clearly</t>
  </si>
  <si>
    <t>Standard methods are applied correctly, but justification is limited or generic.
Weak connection between method, signal, and use case; parameters appear arbitrary or unexplained.</t>
  </si>
  <si>
    <t>Selects, justifies, and appropriately uses data in alignment with the use case, demonstrating domain understanding and proper referencing of sources, including explicit reasoning about relevant signal or data characteristics.</t>
  </si>
  <si>
    <t>Results are neither described nor interpreted; lack of written communication.</t>
  </si>
  <si>
    <t>Results are described but interpretation remains limited, superficial, or loosely connected to the use case. Communication is minimal, unfocused, or generic.</t>
  </si>
  <si>
    <t>Use case and data are appropriate and generally aligned. Relevant signal or image characteristics are described and partially linked to the analytical objective, but reasoning remains general, lacks explicit connection to a specific structure or feature in the data, or is not supported by clear evidence.</t>
  </si>
  <si>
    <t>Implementation is correct and usable. Computational steps and intermediate results are visible and mostly traceable, but the workflow is not clearly guided; the reader must reconstruct how results are produced. Some gaps, unnecessary complexity, or too many experiments reduce clarity.</t>
  </si>
  <si>
    <t>Implementation is clean, well-structured, and technically sound. Computational steps are clearly organized and explicitly guided, allowing the workflow from input to output to be followed directly without interpretation. A small number of coherent, clearly prioritized configurations supports a focused and transparent solution.</t>
  </si>
  <si>
    <t xml:space="preserve">No appropriate metric is defined or the evaluation is not usable. Results are missing, incorrect, or not related to the use case, so no meaningful comparison can be made.
</t>
  </si>
  <si>
    <t>A metric is defined and partly implemented, but results are not clearly presented or not traceable. Missing outputs, incomplete tables or unclear presentation prevent a meaningful comparison of configurations.</t>
  </si>
  <si>
    <t>A suitable metric is defined and consistently applied across configurations.
The metric is mentioned and generally appropriate, but the justification remains limited or generic.
Results are presented and comparable to a baseline, but the evaluation remains mostly descriptive, without clear conclusions about relative performance.</t>
  </si>
  <si>
    <t xml:space="preserve">A well-justified metric is consistently applied and clearly linked to the use case.
It is explicitly explained why this specific metric is appropriate or specifically tailored to the use case.
Results are not only presented but clearly condensed into a direct, decision-ready comparison (e.g. clear ranking, best configuration, or decisive trade-off).
</t>
  </si>
  <si>
    <t>Methods are suitable and a basic justification is provided.
There is a logical link between signal characteristics, method choice, and expected outcome.
However, explanations remain partly generic, and the reasoning is not fully developed or not tightly connected to the specific use case.</t>
  </si>
  <si>
    <t>The method is clearly linked to the signal characteristics and task requirements, with explicit reasoning of assumptions and trade-offs.
It is convincingly explained why this method (and parameterization) is appropriate for this specific problem.
May include own ideas or non-generic, original reasoning beyond standard approaches.</t>
  </si>
  <si>
    <t>suits the problem</t>
  </si>
  <si>
    <t>Relevant specific signal or image characteristics are clearly identified and supported, and explicitly linked to a specific structure in the data.
It is convincingly explained why this data is appropriate for the task.
May include non-generic reasoning or original insight.</t>
  </si>
  <si>
    <t>The analysis is logically structured and communicated clearly.
Results are interpreted in relation to the task, but reasoning remains primarily descriptive or somewhat generic, without deeper explanation of underlying mechanisms.</t>
  </si>
  <si>
    <t>I understand what happens</t>
  </si>
  <si>
    <t>specifically right data choice and I see why</t>
  </si>
  <si>
    <t>works well, but could be applied to many problems</t>
  </si>
  <si>
    <t>specifically right method for this problem and I see why</t>
  </si>
  <si>
    <t>works, but I have to reconstruct the process</t>
  </si>
  <si>
    <t>clean, guided, and directly traceable</t>
  </si>
  <si>
    <t>I clearly see what works best and why</t>
  </si>
  <si>
    <t>I understand why it happens and when it is relevant explains why based on the underlying mechanism (method, metric, or data)</t>
  </si>
  <si>
    <t>The analysis explains why the observed effects occur based on the underlying mechanism (method, metric, or data) and when they are relevant for the use case.
Reasoning is non-generic and leads to clear conclusions about suitability.
Limitations and boundary conditions are explicitly discussed.</t>
  </si>
  <si>
    <t>- Correct implementation of algorithms (e.g., convolution, correlation, segmentation pipeline) including relevant steps/parameters.
- Clear presentation of intermediate results.
- Transparent computational steps C3allowing the process to be followed without re-running code.
- Consistent and technically sound execution.
- Visualizations and intermediate results clearly demonstrate the intended effect of the implemented method.
- Experimental configurations have a clear technical purpose and make the target phenomenon observable (e.g., aliasing, filtering effect, reconstruction error, segmentation behaviour).</t>
  </si>
  <si>
    <t>- Incorrect implementation of core operations.
- Missing intermediate steps.
- Black-box use of functions without explanation.
- Technical errors affecting results.
- Mismatch between method and signal representation leading to limited usefulness of results (without technical errors).
- Experiments are implemented correctly but do not clearly demonstrate the intended technical phenomenon.
- Visualizations show differences between configurations but do not make the effect of the method directly observable.</t>
  </si>
  <si>
    <t>Grade Written Assignment</t>
  </si>
  <si>
    <t>Grade Oral Assessment</t>
  </si>
  <si>
    <t>Overall MC Grade</t>
  </si>
  <si>
    <t>Topic</t>
  </si>
  <si>
    <t>Question</t>
  </si>
  <si>
    <t>Type</t>
  </si>
  <si>
    <t>sampling</t>
  </si>
  <si>
    <t>correlation</t>
  </si>
  <si>
    <t>convolution</t>
  </si>
  <si>
    <t>Main</t>
  </si>
  <si>
    <t>Follow-up</t>
  </si>
  <si>
    <t>Main / follow-up</t>
  </si>
  <si>
    <t>0</t>
  </si>
  <si>
    <t>Correct, precise, and to the point; clearly explains the concept, justifies the chosen approach, and correctly reasons about changed conditions.</t>
  </si>
  <si>
    <t>Partially correct; demonstrates basic conceptual understanding, but the explanation, justification, or transfer reasoning is incomplete, vague, or only partly correct.</t>
  </si>
  <si>
    <t>Incorrect or substantially unclear; does not demonstrate sufficient understanding to explain the concept, justify the approach, or reason about changed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</si>
</sst>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sz val="11"/>
      <color theme="1"/>
      <name val="Aptos Narrow"/>
      <scheme val="minor"/>
    </font>
    <font>
      <sz val="10"/>
      <color theme="1"/>
      <name val="Arial Unicode MS"/>
      <family val="2"/>
    </font>
  </fonts>
  <fills count="7">
    <fill>
      <patternFill patternType="none"/>
    </fill>
    <fill>
      <patternFill patternType="gray125"/>
    </fill>
    <fill>
      <patternFill patternType="solid">
        <fgColor theme="0" tint="-0.249977111117893"/>
        <bgColor theme="0" tint="-0.14999847407452621"/>
      </patternFill>
    </fill>
    <fill>
      <patternFill patternType="solid">
        <fgColor theme="0" tint="-0.249977111117893"/>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theme="0" tint="-0.34998626667073579"/>
        <bgColor theme="0" tint="-0.34998626667073579"/>
      </patternFill>
    </fill>
  </fills>
  <borders count="10">
    <border>
      <left/>
      <right/>
      <top/>
      <bottom/>
      <diagonal/>
    </border>
    <border>
      <left style="thin">
        <color theme="0"/>
      </left>
      <right style="thin">
        <color theme="0"/>
      </right>
      <top style="thin">
        <color theme="0"/>
      </top>
      <bottom/>
      <diagonal/>
    </border>
    <border>
      <left/>
      <right/>
      <top style="thin">
        <color indexed="64"/>
      </top>
      <bottom style="double">
        <color indexed="64"/>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style="thick">
        <color theme="0"/>
      </bottom>
      <diagonal/>
    </border>
    <border>
      <left style="thin">
        <color theme="0"/>
      </left>
      <right/>
      <top style="thin">
        <color theme="0"/>
      </top>
      <bottom style="thin">
        <color theme="0"/>
      </bottom>
      <diagonal/>
    </border>
    <border>
      <left/>
      <right style="thin">
        <color theme="0"/>
      </right>
      <top style="thin">
        <color theme="0"/>
      </top>
      <bottom/>
      <diagonal/>
    </border>
  </borders>
  <cellStyleXfs count="1">
    <xf numFmtId="0" fontId="0" fillId="0" borderId="0"/>
  </cellStyleXfs>
  <cellXfs count="28">
    <xf numFmtId="0" fontId="0" fillId="0" borderId="0" xfId="0"/>
    <xf numFmtId="0" fontId="1" fillId="0" borderId="0" xfId="0" applyFont="1"/>
    <xf numFmtId="49" fontId="0" fillId="0" borderId="0" xfId="0" applyNumberFormat="1" applyAlignment="1">
      <alignment wrapText="1"/>
    </xf>
    <xf numFmtId="1" fontId="0" fillId="0" borderId="0" xfId="0" applyNumberFormat="1" applyAlignment="1">
      <alignment wrapText="1"/>
    </xf>
    <xf numFmtId="0" fontId="0" fillId="0" borderId="0" xfId="0" applyAlignment="1">
      <alignment wrapText="1"/>
    </xf>
    <xf numFmtId="49" fontId="0" fillId="0" borderId="0" xfId="0" quotePrefix="1" applyNumberFormat="1" applyAlignment="1">
      <alignment vertical="top" wrapText="1"/>
    </xf>
    <xf numFmtId="49" fontId="0" fillId="0" borderId="0" xfId="0" applyNumberFormat="1" applyAlignment="1">
      <alignment vertical="top" wrapText="1"/>
    </xf>
    <xf numFmtId="0" fontId="0" fillId="0" borderId="0" xfId="0" applyAlignment="1">
      <alignment vertical="top"/>
    </xf>
    <xf numFmtId="0" fontId="1" fillId="0" borderId="0" xfId="0" applyFont="1" applyAlignment="1">
      <alignment vertical="center"/>
    </xf>
    <xf numFmtId="49" fontId="0" fillId="0" borderId="0" xfId="0" applyNumberFormat="1" applyAlignment="1">
      <alignment vertical="center" wrapText="1"/>
    </xf>
    <xf numFmtId="49" fontId="1" fillId="0" borderId="0" xfId="0" applyNumberFormat="1" applyFont="1" applyAlignment="1">
      <alignment wrapText="1"/>
    </xf>
    <xf numFmtId="0" fontId="0" fillId="2" borderId="1" xfId="0" applyFill="1" applyBorder="1" applyAlignment="1">
      <alignment wrapText="1"/>
    </xf>
    <xf numFmtId="0" fontId="0" fillId="3" borderId="0" xfId="0" applyFill="1"/>
    <xf numFmtId="0" fontId="0" fillId="3" borderId="2" xfId="0" applyFill="1" applyBorder="1"/>
    <xf numFmtId="49" fontId="0" fillId="0" borderId="0" xfId="0" quotePrefix="1" applyNumberFormat="1" applyAlignment="1">
      <alignment vertical="center" wrapText="1"/>
    </xf>
    <xf numFmtId="1" fontId="1" fillId="0" borderId="0" xfId="0" applyNumberFormat="1" applyFont="1" applyAlignment="1">
      <alignment wrapText="1"/>
    </xf>
    <xf numFmtId="0" fontId="3" fillId="4" borderId="3" xfId="0" applyFont="1" applyFill="1" applyBorder="1"/>
    <xf numFmtId="0" fontId="3" fillId="4" borderId="4" xfId="0" applyFont="1" applyFill="1" applyBorder="1"/>
    <xf numFmtId="0" fontId="3" fillId="4" borderId="7" xfId="0" applyFont="1" applyFill="1" applyBorder="1"/>
    <xf numFmtId="1" fontId="0" fillId="6" borderId="6" xfId="0" applyNumberFormat="1" applyFont="1" applyFill="1" applyBorder="1" applyAlignment="1">
      <alignment wrapText="1"/>
    </xf>
    <xf numFmtId="49" fontId="0" fillId="5" borderId="5" xfId="0" quotePrefix="1" applyNumberFormat="1" applyFont="1" applyFill="1" applyBorder="1" applyAlignment="1">
      <alignment vertical="top" wrapText="1"/>
    </xf>
    <xf numFmtId="49" fontId="0" fillId="5" borderId="6" xfId="0" applyNumberFormat="1" applyFont="1" applyFill="1" applyBorder="1" applyAlignment="1">
      <alignment vertical="top" wrapText="1"/>
    </xf>
    <xf numFmtId="49" fontId="0" fillId="5" borderId="8" xfId="0" applyNumberFormat="1" applyFont="1" applyFill="1" applyBorder="1" applyAlignment="1">
      <alignment wrapText="1"/>
    </xf>
    <xf numFmtId="1" fontId="4" fillId="6" borderId="6" xfId="0" applyNumberFormat="1" applyFont="1" applyFill="1" applyBorder="1" applyAlignment="1">
      <alignment wrapText="1"/>
    </xf>
    <xf numFmtId="49" fontId="0" fillId="0" borderId="0" xfId="0" applyNumberFormat="1"/>
    <xf numFmtId="49" fontId="1" fillId="6" borderId="9" xfId="0" applyNumberFormat="1" applyFont="1" applyFill="1" applyBorder="1" applyAlignment="1">
      <alignment wrapText="1"/>
    </xf>
    <xf numFmtId="0" fontId="5" fillId="0" borderId="0" xfId="0" applyFont="1"/>
    <xf numFmtId="1" fontId="1" fillId="6" borderId="9" xfId="0" applyNumberFormat="1" applyFont="1" applyFill="1" applyBorder="1" applyAlignment="1">
      <alignment wrapText="1"/>
    </xf>
  </cellXfs>
  <cellStyles count="1">
    <cellStyle name="Normal" xfId="0" builtinId="0"/>
  </cellStyles>
  <dxfs count="35">
    <dxf>
      <font>
        <b val="0"/>
        <i val="0"/>
        <strike val="0"/>
        <condense val="0"/>
        <extend val="0"/>
        <outline val="0"/>
        <shadow val="0"/>
        <u val="none"/>
        <vertAlign val="baseline"/>
        <sz val="11"/>
        <color theme="1"/>
        <name val="Aptos Narrow"/>
        <family val="2"/>
        <scheme val="minor"/>
      </font>
      <numFmt numFmtId="30" formatCode="@"/>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numFmt numFmtId="30" formatCode="@"/>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6D81AE8-EC2F-4124-92E1-8F3EB2BC2208}" name="Table7" displayName="Table7" ref="A1:G7" totalsRowShown="0">
  <autoFilter ref="A1:G7" xr:uid="{96D81AE8-EC2F-4124-92E1-8F3EB2BC220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3C58341-ECBD-4FCA-96E3-F18C595F42C5}" name="Competence"/>
    <tableColumn id="2" xr3:uid="{477ECE46-4D74-4218-BEBB-974309117F1C}" name="Weight"/>
    <tableColumn id="3" xr3:uid="{F0FD4DE7-B0B2-45AD-BF39-684D9F8B2AF5}" name="Task1"/>
    <tableColumn id="4" xr3:uid="{4AC006AD-B5F8-49B2-B314-7AC4B978FE22}" name="Task2"/>
    <tableColumn id="5" xr3:uid="{DF44002B-A64F-4375-B6E8-407B430F45DE}" name="Task3"/>
    <tableColumn id="6" xr3:uid="{E93E5480-CBDB-4997-81B6-7F0D1F8E6698}" name="Total Points"/>
    <tableColumn id="7" xr3:uid="{8B94F7B5-AA33-447B-9A7C-B782AED1C607}" name="Bonus credits"/>
  </tableColumns>
  <tableStyleInfo name="TableStyleMedium15"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89C468-AE82-4BF4-979B-713B9E10055B}" name="Table2" displayName="Table2" ref="A1:I12" totalsRowShown="0" headerRowDxfId="34" dataDxfId="33">
  <autoFilter ref="A1:I12" xr:uid="{1989C468-AE82-4BF4-979B-713B9E1005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71DC0EE-03AD-4C61-BF98-BA1C5AF4E6DB}" name="Competence" dataDxfId="32"/>
    <tableColumn id="2" xr3:uid="{CDFC6CAB-820D-4C41-A76B-39B7C61A9C74}" name="0 Points" dataDxfId="31"/>
    <tableColumn id="3" xr3:uid="{0FE1B8B9-E5DC-4317-B74C-8D150C2A5ECC}" name="1 Points" dataDxfId="30"/>
    <tableColumn id="4" xr3:uid="{0CEF8825-405E-4452-9BE1-968276FF1176}" name="2 Points" dataDxfId="29"/>
    <tableColumn id="5" xr3:uid="{F9D3D764-FD81-4B9F-85A9-925F4C16ECAB}" name="3 Points" dataDxfId="28"/>
    <tableColumn id="6" xr3:uid="{B73D6D4E-8D01-4ED2-AC1A-6D44BC57624B}" name="Weight" dataDxfId="27"/>
    <tableColumn id="7" xr3:uid="{4857E3FB-8D19-44DF-BA12-6D8561D09CC3}" name="Points Achieved" dataDxfId="26"/>
    <tableColumn id="9" xr3:uid="{32410447-A1D6-4850-9CDD-EB7F37F7ADE4}" name="Bonus Credits"/>
    <tableColumn id="8" xr3:uid="{6AD4CCBD-FE2E-4464-8ADD-B7E9D8615471}" name="Notes" dataDxfId="25"/>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6BBBAD-25AC-44A3-BBCF-299B59C86B08}" name="Table22" displayName="Table22" ref="A1:I12" totalsRowShown="0" headerRowDxfId="24" dataDxfId="23">
  <autoFilter ref="A1:I12" xr:uid="{1989C468-AE82-4BF4-979B-713B9E1005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E46D7BE-17AC-4E51-90F9-81DFD8FA556C}" name="Competence" dataDxfId="22"/>
    <tableColumn id="2" xr3:uid="{016D438B-679C-4741-9424-A55D58E16630}" name="0 Points" dataDxfId="21"/>
    <tableColumn id="3" xr3:uid="{7015D14E-5CD2-44DB-9F3E-CB2E66C8C226}" name="1 Points" dataDxfId="20"/>
    <tableColumn id="4" xr3:uid="{EA110171-3AE7-47E7-A327-073EFFD74BBA}" name="2 Points" dataDxfId="19"/>
    <tableColumn id="5" xr3:uid="{F039A612-1D09-4168-A9EE-00C3AB8FCBCD}" name="3 Points" dataDxfId="18"/>
    <tableColumn id="6" xr3:uid="{88EE081E-A28D-44ED-9366-E03DB02BCA1B}" name="Weight" dataDxfId="17"/>
    <tableColumn id="7" xr3:uid="{23D98B01-02A1-4C8F-B575-0EC693132041}" name="Points Achieved" dataDxfId="16"/>
    <tableColumn id="9" xr3:uid="{7A78B9A9-FCE0-4BCF-9244-39A043354C01}" name="Bonus Credits"/>
    <tableColumn id="8" xr3:uid="{816203FC-2342-4BE9-B1D6-9E3441C0B773}" name="Notes" dataDxfId="15"/>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17D51C-26BD-4792-9B49-D5B690E87911}" name="Table25" displayName="Table25" ref="A1:I12" totalsRowShown="0" headerRowDxfId="14" dataDxfId="13">
  <autoFilter ref="A1:I12" xr:uid="{1989C468-AE82-4BF4-979B-713B9E1005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F2D67C5-0C4F-4385-9E21-8D2AD1F82F73}" name="Competence" dataDxfId="12"/>
    <tableColumn id="2" xr3:uid="{E888C963-68AD-43E6-AE33-3EF01EAB36A8}" name="0 Points" dataDxfId="11"/>
    <tableColumn id="3" xr3:uid="{D081F040-D0CF-4F9B-B949-2A75D40D75E2}" name="1 Points" dataDxfId="10"/>
    <tableColumn id="4" xr3:uid="{EB534A87-B0BB-437C-AAB3-79538C18B85F}" name="2 Points" dataDxfId="9"/>
    <tableColumn id="5" xr3:uid="{B626069B-C47A-47D9-BD36-826AC184F94C}" name="3 Points" dataDxfId="8"/>
    <tableColumn id="6" xr3:uid="{9C070C09-2CCD-4B8B-961D-E0970C43816E}" name="Weight" dataDxfId="7"/>
    <tableColumn id="7" xr3:uid="{7DB0206B-561D-406B-985B-CC1813B51131}" name="Points Achieved" dataDxfId="6"/>
    <tableColumn id="9" xr3:uid="{D0272112-26CB-402C-BE90-F16238EBCBA3}" name="Bonus Credits"/>
    <tableColumn id="8" xr3:uid="{CF419648-AC54-44C4-8F1A-AE43B293279A}" name="Notes" dataDxfId="5"/>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AF2826-6DE8-4A48-BC4D-B7328143928A}" name="Table3" displayName="Table3" ref="A1:D6" totalsRowShown="0" dataDxfId="4">
  <autoFilter ref="A1:D6" xr:uid="{77AF2826-6DE8-4A48-BC4D-B7328143928A}">
    <filterColumn colId="0" hiddenButton="1"/>
    <filterColumn colId="1" hiddenButton="1"/>
    <filterColumn colId="2" hiddenButton="1"/>
    <filterColumn colId="3" hiddenButton="1"/>
  </autoFilter>
  <tableColumns count="4">
    <tableColumn id="1" xr3:uid="{EA2B7324-A4B8-4967-A810-9116DAF0ABB4}" name="Competence" dataDxfId="3"/>
    <tableColumn id="2" xr3:uid="{B1047790-F9C8-4D16-B6EB-9812C372692E}" name="Interpretation" dataDxfId="2"/>
    <tableColumn id="3" xr3:uid="{923BC08A-1D24-4854-8B2B-55A0A54741F7}" name="Illustrative Indicators Strong Performance (Non-Exhaustive)" dataDxfId="1"/>
    <tableColumn id="4" xr3:uid="{E37913AA-80C1-4419-9D22-2526EA0A6251}" name="Illustrative Indicators Weak Performance (Non-Exhaustive)"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2E4AE-AA6C-4FFC-A5B6-75D1646F4A25}">
  <dimension ref="A1:H11"/>
  <sheetViews>
    <sheetView workbookViewId="0">
      <selection activeCell="H11" sqref="H11"/>
    </sheetView>
  </sheetViews>
  <sheetFormatPr baseColWidth="10" defaultColWidth="8.83203125" defaultRowHeight="15" x14ac:dyDescent="0.2"/>
  <cols>
    <col min="1" max="1" width="29.33203125" customWidth="1"/>
    <col min="2" max="2" width="11" customWidth="1"/>
    <col min="6" max="6" width="13.5" customWidth="1"/>
    <col min="7" max="7" width="15.1640625" customWidth="1"/>
  </cols>
  <sheetData>
    <row r="1" spans="1:8" x14ac:dyDescent="0.2">
      <c r="A1" t="s">
        <v>9</v>
      </c>
      <c r="B1" t="s">
        <v>7</v>
      </c>
      <c r="C1" t="s">
        <v>20</v>
      </c>
      <c r="D1" t="s">
        <v>21</v>
      </c>
      <c r="E1" t="s">
        <v>22</v>
      </c>
      <c r="F1" t="s">
        <v>18</v>
      </c>
      <c r="G1" t="s">
        <v>25</v>
      </c>
    </row>
    <row r="2" spans="1:8" x14ac:dyDescent="0.2">
      <c r="A2" t="str">
        <f>Table2[[#This Row],[Competence]]</f>
        <v>Data &amp; Domain</v>
      </c>
      <c r="B2">
        <v>1</v>
      </c>
      <c r="C2">
        <f>Table2[[#This Row],[Points Achieved]]</f>
        <v>0</v>
      </c>
      <c r="D2">
        <f>Table22[[#This Row],[Points Achieved]]</f>
        <v>0</v>
      </c>
      <c r="E2">
        <f>Table25[[#This Row],[Points Achieved]]</f>
        <v>0</v>
      </c>
      <c r="G2">
        <f>SUM(Table2[[#This Row],[Bonus Credits]],Table22[[#This Row],[Bonus Credits]],Table25[[#This Row],[Bonus Credits]])</f>
        <v>0</v>
      </c>
    </row>
    <row r="3" spans="1:8" x14ac:dyDescent="0.2">
      <c r="A3" t="str">
        <f>task1!A4</f>
        <v>Methodological Design</v>
      </c>
      <c r="B3">
        <v>1</v>
      </c>
      <c r="C3">
        <f>task1!G4</f>
        <v>0</v>
      </c>
      <c r="D3">
        <f>task2!G4</f>
        <v>0</v>
      </c>
      <c r="E3">
        <f>task3!G4</f>
        <v>0</v>
      </c>
      <c r="G3">
        <f>SUM(task1!H4,task2!H4,task3!H4,)</f>
        <v>0</v>
      </c>
    </row>
    <row r="4" spans="1:8" x14ac:dyDescent="0.2">
      <c r="A4" t="str">
        <f>task1!A6</f>
        <v>Technical Implementation</v>
      </c>
      <c r="B4">
        <v>1</v>
      </c>
      <c r="C4">
        <f>task1!G6</f>
        <v>0</v>
      </c>
      <c r="D4">
        <f>task2!G6</f>
        <v>0</v>
      </c>
      <c r="E4">
        <f>task3!G6</f>
        <v>0</v>
      </c>
      <c r="G4">
        <f>SUM(task1!H6,task2!H6,task3!H6)</f>
        <v>0</v>
      </c>
    </row>
    <row r="5" spans="1:8" x14ac:dyDescent="0.2">
      <c r="A5" t="str">
        <f>task1!A8</f>
        <v>Evaluation</v>
      </c>
      <c r="B5">
        <v>1</v>
      </c>
      <c r="C5">
        <f>task1!G8</f>
        <v>0</v>
      </c>
      <c r="D5">
        <f>task2!G8</f>
        <v>0</v>
      </c>
      <c r="E5">
        <f>task3!G8</f>
        <v>0</v>
      </c>
      <c r="G5">
        <f>SUM(task1!H8,task2!H8,task3!H8)</f>
        <v>0</v>
      </c>
    </row>
    <row r="6" spans="1:8" x14ac:dyDescent="0.2">
      <c r="A6" t="str">
        <f>task1!A10</f>
        <v>Analytical &amp; Communication</v>
      </c>
      <c r="B6">
        <v>1</v>
      </c>
      <c r="C6">
        <f>task1!G10</f>
        <v>0</v>
      </c>
      <c r="D6">
        <f>task2!G10</f>
        <v>0</v>
      </c>
      <c r="E6">
        <f>task3!G10</f>
        <v>0</v>
      </c>
      <c r="G6">
        <f>SUM(task1!H10,task2!H10,task3!H10)</f>
        <v>0</v>
      </c>
    </row>
    <row r="7" spans="1:8" x14ac:dyDescent="0.2">
      <c r="A7" t="s">
        <v>23</v>
      </c>
      <c r="C7">
        <f>SUM($B2*C2,$B3*C3,$B4*C4,$B5*C5,$B6*C6)</f>
        <v>0</v>
      </c>
      <c r="D7">
        <f>SUM($B2*D2,$B3*D3,$B4*D4,$B5*D5,$B6*D6)</f>
        <v>0</v>
      </c>
      <c r="E7">
        <f>SUM($B2*E2,$B3*E3,$B4*E4,$B5*E5,$B6*E6)</f>
        <v>0</v>
      </c>
      <c r="F7">
        <f>SUM(C7:E7)</f>
        <v>0</v>
      </c>
      <c r="G7">
        <f>SUM(G2:G6)</f>
        <v>0</v>
      </c>
    </row>
    <row r="8" spans="1:8" x14ac:dyDescent="0.2">
      <c r="A8" t="s">
        <v>24</v>
      </c>
      <c r="F8">
        <f>SUM(B2*3,B3*3,B4*3,B5*3,B6*3)*3</f>
        <v>45</v>
      </c>
      <c r="G8">
        <v>15</v>
      </c>
    </row>
    <row r="9" spans="1:8" ht="16" thickBot="1" x14ac:dyDescent="0.25">
      <c r="A9" t="s">
        <v>76</v>
      </c>
      <c r="F9" s="11">
        <f>MAX(1,MIN(6,IF(F7&lt;=$F$8/3,
   1+9*F7/$F$8,
   IF(F7&lt;=2*$F$8/3,
      3+3*F7/$F$8,
      3+3*F7/$F$8
   )
)))</f>
        <v>1</v>
      </c>
      <c r="G9" s="12">
        <f>IF($G$7&lt;10,0,MIN($G$7,$G$8)/$G$8*0.33)</f>
        <v>0</v>
      </c>
      <c r="H9" s="13">
        <f>MIN(6,F9+G9)</f>
        <v>1</v>
      </c>
    </row>
    <row r="10" spans="1:8" ht="17" thickTop="1" x14ac:dyDescent="0.25">
      <c r="A10" t="s">
        <v>77</v>
      </c>
      <c r="F10" s="24">
        <f>oral_assessment!H8</f>
        <v>0</v>
      </c>
      <c r="H10" s="26">
        <f>ROUND(1+5*(F10+G10)/12,1)</f>
        <v>1</v>
      </c>
    </row>
    <row r="11" spans="1:8" x14ac:dyDescent="0.2">
      <c r="A11" t="s">
        <v>78</v>
      </c>
      <c r="H11">
        <f>AVERAGE(H9:H10)</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6ADB-1081-4708-836B-89A4832BB7AA}">
  <dimension ref="A1:I12"/>
  <sheetViews>
    <sheetView topLeftCell="A7" zoomScale="102" zoomScaleNormal="140" workbookViewId="0">
      <selection activeCell="A13" sqref="A13:XFD13"/>
    </sheetView>
  </sheetViews>
  <sheetFormatPr baseColWidth="10" defaultColWidth="8.83203125" defaultRowHeight="15" x14ac:dyDescent="0.2"/>
  <cols>
    <col min="1" max="1" width="42.5" customWidth="1"/>
    <col min="2" max="2" width="28.6640625" bestFit="1" customWidth="1"/>
    <col min="3" max="3" width="29.5" customWidth="1"/>
    <col min="4" max="4" width="29.33203125" bestFit="1" customWidth="1"/>
    <col min="5" max="5" width="29.1640625" bestFit="1" customWidth="1"/>
    <col min="6" max="6" width="7.5" bestFit="1" customWidth="1"/>
    <col min="7" max="7" width="15.5" bestFit="1" customWidth="1"/>
    <col min="8" max="8" width="15.5" customWidth="1"/>
    <col min="9" max="9" width="38.5" customWidth="1"/>
  </cols>
  <sheetData>
    <row r="1" spans="1:9" x14ac:dyDescent="0.2">
      <c r="A1" s="1" t="s">
        <v>9</v>
      </c>
      <c r="B1" s="1" t="s">
        <v>39</v>
      </c>
      <c r="C1" s="1" t="s">
        <v>40</v>
      </c>
      <c r="D1" s="1" t="s">
        <v>38</v>
      </c>
      <c r="E1" s="1" t="s">
        <v>37</v>
      </c>
      <c r="F1" s="1" t="s">
        <v>7</v>
      </c>
      <c r="G1" s="1" t="s">
        <v>8</v>
      </c>
      <c r="H1" s="1" t="s">
        <v>36</v>
      </c>
      <c r="I1" s="1" t="s">
        <v>17</v>
      </c>
    </row>
    <row r="2" spans="1:9" ht="32" x14ac:dyDescent="0.2">
      <c r="A2" s="1" t="s">
        <v>1</v>
      </c>
      <c r="B2" s="3"/>
      <c r="C2" s="3"/>
      <c r="D2" s="1" t="s">
        <v>62</v>
      </c>
      <c r="E2" s="15" t="s">
        <v>66</v>
      </c>
      <c r="F2" s="4">
        <f>overview_grade!B2</f>
        <v>1</v>
      </c>
      <c r="G2" s="4">
        <v>0</v>
      </c>
      <c r="H2" s="4">
        <v>0</v>
      </c>
      <c r="I2" s="2"/>
    </row>
    <row r="3" spans="1:9" s="7" customFormat="1" ht="144" x14ac:dyDescent="0.2">
      <c r="A3" s="5" t="s">
        <v>50</v>
      </c>
      <c r="B3" s="5" t="s">
        <v>28</v>
      </c>
      <c r="C3" s="5" t="s">
        <v>6</v>
      </c>
      <c r="D3" s="5" t="s">
        <v>53</v>
      </c>
      <c r="E3" s="5" t="s">
        <v>63</v>
      </c>
      <c r="F3" s="6"/>
      <c r="G3" s="6"/>
      <c r="H3" s="6"/>
      <c r="I3"/>
    </row>
    <row r="4" spans="1:9" ht="32" x14ac:dyDescent="0.2">
      <c r="A4" s="1" t="s">
        <v>19</v>
      </c>
      <c r="B4" s="2"/>
      <c r="C4" s="2"/>
      <c r="D4" s="10" t="s">
        <v>67</v>
      </c>
      <c r="E4" s="10" t="s">
        <v>68</v>
      </c>
      <c r="F4" s="4">
        <f>overview_grade!B3</f>
        <v>1</v>
      </c>
      <c r="G4" s="4">
        <v>0</v>
      </c>
      <c r="H4" s="4">
        <v>0</v>
      </c>
      <c r="I4" s="1"/>
    </row>
    <row r="5" spans="1:9" s="7" customFormat="1" ht="160" x14ac:dyDescent="0.2">
      <c r="A5" s="5" t="s">
        <v>26</v>
      </c>
      <c r="B5" s="5" t="s">
        <v>27</v>
      </c>
      <c r="C5" s="5" t="s">
        <v>49</v>
      </c>
      <c r="D5" s="5" t="s">
        <v>60</v>
      </c>
      <c r="E5" s="5" t="s">
        <v>61</v>
      </c>
      <c r="F5" s="6"/>
      <c r="G5" s="6"/>
      <c r="H5" s="6"/>
      <c r="I5" s="2"/>
    </row>
    <row r="6" spans="1:9" ht="32" x14ac:dyDescent="0.2">
      <c r="A6" s="1" t="s">
        <v>3</v>
      </c>
      <c r="B6" s="2"/>
      <c r="C6" s="2"/>
      <c r="D6" s="10" t="s">
        <v>69</v>
      </c>
      <c r="E6" s="10" t="s">
        <v>70</v>
      </c>
      <c r="F6" s="4">
        <f>overview_grade!B4</f>
        <v>1</v>
      </c>
      <c r="G6" s="4">
        <v>0</v>
      </c>
      <c r="H6" s="4">
        <v>0</v>
      </c>
      <c r="I6" s="2"/>
    </row>
    <row r="7" spans="1:9" s="7" customFormat="1" ht="160" x14ac:dyDescent="0.2">
      <c r="A7" s="5" t="s">
        <v>46</v>
      </c>
      <c r="B7" s="5" t="s">
        <v>45</v>
      </c>
      <c r="C7" s="5" t="s">
        <v>44</v>
      </c>
      <c r="D7" s="5" t="s">
        <v>54</v>
      </c>
      <c r="E7" s="5" t="s">
        <v>55</v>
      </c>
      <c r="F7" s="6"/>
      <c r="G7" s="6"/>
      <c r="H7" s="6"/>
      <c r="I7" s="2"/>
    </row>
    <row r="8" spans="1:9" ht="32" x14ac:dyDescent="0.2">
      <c r="A8" s="1" t="s">
        <v>4</v>
      </c>
      <c r="B8" s="2"/>
      <c r="C8" s="10" t="s">
        <v>47</v>
      </c>
      <c r="D8" s="10" t="s">
        <v>48</v>
      </c>
      <c r="E8" s="10" t="s">
        <v>71</v>
      </c>
      <c r="F8" s="4">
        <f>overview_grade!B5</f>
        <v>1</v>
      </c>
      <c r="G8" s="4">
        <v>0</v>
      </c>
      <c r="H8" s="4">
        <v>0</v>
      </c>
      <c r="I8" s="2"/>
    </row>
    <row r="9" spans="1:9" s="7" customFormat="1" ht="208" x14ac:dyDescent="0.2">
      <c r="A9" s="5" t="s">
        <v>43</v>
      </c>
      <c r="B9" s="5" t="s">
        <v>56</v>
      </c>
      <c r="C9" s="5" t="s">
        <v>57</v>
      </c>
      <c r="D9" s="5" t="s">
        <v>58</v>
      </c>
      <c r="E9" s="5" t="s">
        <v>59</v>
      </c>
      <c r="F9" s="6"/>
      <c r="G9" s="6"/>
      <c r="H9" s="6"/>
      <c r="I9" s="2"/>
    </row>
    <row r="10" spans="1:9" ht="80" x14ac:dyDescent="0.2">
      <c r="A10" s="1" t="s">
        <v>5</v>
      </c>
      <c r="B10" s="2"/>
      <c r="C10" s="2"/>
      <c r="D10" s="10" t="s">
        <v>65</v>
      </c>
      <c r="E10" s="10" t="s">
        <v>72</v>
      </c>
      <c r="F10" s="4">
        <f>overview_grade!B6</f>
        <v>1</v>
      </c>
      <c r="G10" s="4">
        <v>0</v>
      </c>
      <c r="H10" s="4">
        <v>0</v>
      </c>
      <c r="I10" s="2"/>
    </row>
    <row r="11" spans="1:9" s="7" customFormat="1" ht="144" x14ac:dyDescent="0.2">
      <c r="A11" s="5" t="s">
        <v>0</v>
      </c>
      <c r="B11" s="5" t="s">
        <v>51</v>
      </c>
      <c r="C11" s="5" t="s">
        <v>52</v>
      </c>
      <c r="D11" s="5" t="s">
        <v>64</v>
      </c>
      <c r="E11" s="5" t="s">
        <v>73</v>
      </c>
      <c r="F11" s="6"/>
      <c r="G11" s="6"/>
      <c r="H11" s="6"/>
      <c r="I11" s="2"/>
    </row>
    <row r="12" spans="1:9" ht="16" x14ac:dyDescent="0.2">
      <c r="A12" s="10" t="s">
        <v>18</v>
      </c>
      <c r="B12" s="2"/>
      <c r="C12" s="2"/>
      <c r="D12" s="2"/>
      <c r="E12" s="2"/>
      <c r="F12" s="3">
        <f>SUM(F2,F4,F6,F8,F10)</f>
        <v>5</v>
      </c>
      <c r="G12" s="3">
        <f>SUM(F2*G2,F4*G4,F6*G6,F8*G8,F10*G10)</f>
        <v>0</v>
      </c>
      <c r="H12" s="3">
        <f>SUM(H2,H4,H6,H8,H10)</f>
        <v>0</v>
      </c>
      <c r="I12" s="2"/>
    </row>
  </sheetData>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FF0D7-9990-4E02-B700-59BB396EADA0}">
  <dimension ref="A1:I12"/>
  <sheetViews>
    <sheetView topLeftCell="A7" zoomScale="88" zoomScaleNormal="140" workbookViewId="0">
      <selection activeCell="A12" sqref="A12"/>
    </sheetView>
  </sheetViews>
  <sheetFormatPr baseColWidth="10" defaultColWidth="8.83203125" defaultRowHeight="15" x14ac:dyDescent="0.2"/>
  <cols>
    <col min="1" max="1" width="42.5" customWidth="1"/>
    <col min="2" max="2" width="28.6640625" bestFit="1" customWidth="1"/>
    <col min="3" max="3" width="29.5" customWidth="1"/>
    <col min="4" max="4" width="29.33203125" bestFit="1" customWidth="1"/>
    <col min="5" max="5" width="29.1640625" bestFit="1" customWidth="1"/>
    <col min="6" max="6" width="7.5" bestFit="1" customWidth="1"/>
    <col min="7" max="7" width="15.5" bestFit="1" customWidth="1"/>
    <col min="8" max="8" width="15.5" customWidth="1"/>
    <col min="9" max="9" width="38.5" customWidth="1"/>
  </cols>
  <sheetData>
    <row r="1" spans="1:9" x14ac:dyDescent="0.2">
      <c r="A1" s="1" t="s">
        <v>9</v>
      </c>
      <c r="B1" s="1" t="s">
        <v>39</v>
      </c>
      <c r="C1" s="1" t="s">
        <v>40</v>
      </c>
      <c r="D1" s="1" t="s">
        <v>38</v>
      </c>
      <c r="E1" s="1" t="s">
        <v>37</v>
      </c>
      <c r="F1" s="1" t="s">
        <v>7</v>
      </c>
      <c r="G1" s="1" t="s">
        <v>8</v>
      </c>
      <c r="H1" s="1" t="s">
        <v>36</v>
      </c>
      <c r="I1" s="1" t="s">
        <v>17</v>
      </c>
    </row>
    <row r="2" spans="1:9" ht="32" x14ac:dyDescent="0.2">
      <c r="A2" s="1" t="s">
        <v>1</v>
      </c>
      <c r="B2" s="3"/>
      <c r="C2" s="3"/>
      <c r="D2" s="1" t="s">
        <v>62</v>
      </c>
      <c r="E2" s="15" t="s">
        <v>66</v>
      </c>
      <c r="F2" s="4">
        <f>overview_grade!B2</f>
        <v>1</v>
      </c>
      <c r="G2" s="4">
        <v>0</v>
      </c>
      <c r="H2" s="4">
        <v>0</v>
      </c>
      <c r="I2" s="2"/>
    </row>
    <row r="3" spans="1:9" s="7" customFormat="1" ht="144" x14ac:dyDescent="0.2">
      <c r="A3" s="5" t="s">
        <v>50</v>
      </c>
      <c r="B3" s="5" t="s">
        <v>28</v>
      </c>
      <c r="C3" s="5" t="s">
        <v>6</v>
      </c>
      <c r="D3" s="5" t="s">
        <v>53</v>
      </c>
      <c r="E3" s="5" t="s">
        <v>63</v>
      </c>
      <c r="F3" s="6"/>
      <c r="G3" s="6"/>
      <c r="H3" s="6"/>
      <c r="I3" s="2"/>
    </row>
    <row r="4" spans="1:9" ht="32" x14ac:dyDescent="0.2">
      <c r="A4" s="1" t="s">
        <v>19</v>
      </c>
      <c r="B4" s="2"/>
      <c r="C4" s="2"/>
      <c r="D4" s="10" t="s">
        <v>67</v>
      </c>
      <c r="E4" s="10" t="s">
        <v>68</v>
      </c>
      <c r="F4" s="4">
        <f>overview_grade!B3</f>
        <v>1</v>
      </c>
      <c r="G4" s="4">
        <v>0</v>
      </c>
      <c r="H4" s="4">
        <v>0</v>
      </c>
      <c r="I4" s="2"/>
    </row>
    <row r="5" spans="1:9" s="7" customFormat="1" ht="160" x14ac:dyDescent="0.2">
      <c r="A5" s="5" t="s">
        <v>26</v>
      </c>
      <c r="B5" s="5" t="s">
        <v>27</v>
      </c>
      <c r="C5" s="5" t="s">
        <v>49</v>
      </c>
      <c r="D5" s="5" t="s">
        <v>60</v>
      </c>
      <c r="E5" s="5" t="s">
        <v>61</v>
      </c>
      <c r="F5" s="6"/>
      <c r="G5" s="6"/>
      <c r="H5" s="6"/>
      <c r="I5" s="2"/>
    </row>
    <row r="6" spans="1:9" ht="32" x14ac:dyDescent="0.2">
      <c r="A6" s="1" t="s">
        <v>3</v>
      </c>
      <c r="B6" s="2"/>
      <c r="C6" s="2"/>
      <c r="D6" s="10" t="s">
        <v>69</v>
      </c>
      <c r="E6" s="10" t="s">
        <v>70</v>
      </c>
      <c r="F6" s="4">
        <f>overview_grade!B4</f>
        <v>1</v>
      </c>
      <c r="G6" s="4">
        <v>0</v>
      </c>
      <c r="H6" s="4">
        <v>0</v>
      </c>
      <c r="I6" s="2"/>
    </row>
    <row r="7" spans="1:9" s="7" customFormat="1" ht="160" x14ac:dyDescent="0.2">
      <c r="A7" s="5" t="s">
        <v>46</v>
      </c>
      <c r="B7" s="5" t="s">
        <v>45</v>
      </c>
      <c r="C7" s="5" t="s">
        <v>44</v>
      </c>
      <c r="D7" s="5" t="s">
        <v>54</v>
      </c>
      <c r="E7" s="5" t="s">
        <v>55</v>
      </c>
      <c r="F7" s="6"/>
      <c r="G7" s="6"/>
      <c r="H7" s="6"/>
      <c r="I7" s="2"/>
    </row>
    <row r="8" spans="1:9" ht="32" x14ac:dyDescent="0.2">
      <c r="A8" s="1" t="s">
        <v>4</v>
      </c>
      <c r="B8" s="2"/>
      <c r="C8" s="10" t="s">
        <v>47</v>
      </c>
      <c r="D8" s="10" t="s">
        <v>48</v>
      </c>
      <c r="E8" s="10" t="s">
        <v>71</v>
      </c>
      <c r="F8" s="4">
        <f>overview_grade!B5</f>
        <v>1</v>
      </c>
      <c r="G8" s="4">
        <v>0</v>
      </c>
      <c r="H8" s="4">
        <v>0</v>
      </c>
      <c r="I8" s="2"/>
    </row>
    <row r="9" spans="1:9" s="7" customFormat="1" ht="208" x14ac:dyDescent="0.2">
      <c r="A9" s="5" t="s">
        <v>43</v>
      </c>
      <c r="B9" s="5" t="s">
        <v>56</v>
      </c>
      <c r="C9" s="5" t="s">
        <v>57</v>
      </c>
      <c r="D9" s="5" t="s">
        <v>58</v>
      </c>
      <c r="E9" s="5" t="s">
        <v>59</v>
      </c>
      <c r="F9" s="6"/>
      <c r="G9" s="6"/>
      <c r="H9" s="6"/>
      <c r="I9" s="2"/>
    </row>
    <row r="10" spans="1:9" ht="80" x14ac:dyDescent="0.2">
      <c r="A10" s="1" t="s">
        <v>5</v>
      </c>
      <c r="B10" s="2"/>
      <c r="C10" s="2"/>
      <c r="D10" s="10" t="s">
        <v>65</v>
      </c>
      <c r="E10" s="10" t="s">
        <v>72</v>
      </c>
      <c r="F10" s="4">
        <f>overview_grade!B6</f>
        <v>1</v>
      </c>
      <c r="G10" s="4">
        <v>0</v>
      </c>
      <c r="H10" s="4">
        <v>0</v>
      </c>
      <c r="I10" s="2"/>
    </row>
    <row r="11" spans="1:9" s="7" customFormat="1" ht="144" x14ac:dyDescent="0.2">
      <c r="A11" s="5" t="s">
        <v>0</v>
      </c>
      <c r="B11" s="5" t="s">
        <v>51</v>
      </c>
      <c r="C11" s="5" t="s">
        <v>52</v>
      </c>
      <c r="D11" s="5" t="s">
        <v>64</v>
      </c>
      <c r="E11" s="5" t="s">
        <v>73</v>
      </c>
      <c r="F11" s="6"/>
      <c r="G11" s="6"/>
      <c r="H11" s="6"/>
      <c r="I11" s="2"/>
    </row>
    <row r="12" spans="1:9" ht="16" x14ac:dyDescent="0.2">
      <c r="A12" s="10" t="s">
        <v>18</v>
      </c>
      <c r="B12" s="2"/>
      <c r="C12" s="2"/>
      <c r="D12" s="2"/>
      <c r="E12" s="2"/>
      <c r="F12" s="3">
        <f>SUM(F2,F4,F6,F8,F10)</f>
        <v>5</v>
      </c>
      <c r="G12" s="3">
        <f>SUM(F2*G2,F4*G4,F6*G6,F8*G8,F10*G10)</f>
        <v>0</v>
      </c>
      <c r="H12" s="3">
        <f>SUM(H2,H4,H6,H8,H10)</f>
        <v>0</v>
      </c>
      <c r="I12" s="2"/>
    </row>
  </sheetData>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07C86-D5B1-4E00-9C1F-CF58BEEE4A7C}">
  <dimension ref="A1:I12"/>
  <sheetViews>
    <sheetView zoomScale="88" zoomScaleNormal="140" workbookViewId="0">
      <selection sqref="A1:I3"/>
    </sheetView>
  </sheetViews>
  <sheetFormatPr baseColWidth="10" defaultColWidth="8.83203125" defaultRowHeight="15" x14ac:dyDescent="0.2"/>
  <cols>
    <col min="1" max="1" width="42.5" customWidth="1"/>
    <col min="2" max="2" width="28.6640625" bestFit="1" customWidth="1"/>
    <col min="3" max="3" width="29.5" customWidth="1"/>
    <col min="4" max="4" width="29.33203125" bestFit="1" customWidth="1"/>
    <col min="5" max="5" width="29.1640625" bestFit="1" customWidth="1"/>
    <col min="6" max="6" width="7.5" bestFit="1" customWidth="1"/>
    <col min="7" max="7" width="15.5" bestFit="1" customWidth="1"/>
    <col min="8" max="8" width="15.5" customWidth="1"/>
    <col min="9" max="9" width="38.5" customWidth="1"/>
  </cols>
  <sheetData>
    <row r="1" spans="1:9" x14ac:dyDescent="0.2">
      <c r="A1" s="1" t="s">
        <v>9</v>
      </c>
      <c r="B1" s="1" t="s">
        <v>39</v>
      </c>
      <c r="C1" s="1" t="s">
        <v>40</v>
      </c>
      <c r="D1" s="1" t="s">
        <v>38</v>
      </c>
      <c r="E1" s="1" t="s">
        <v>37</v>
      </c>
      <c r="F1" s="1" t="s">
        <v>7</v>
      </c>
      <c r="G1" s="1" t="s">
        <v>8</v>
      </c>
      <c r="H1" s="1" t="s">
        <v>36</v>
      </c>
      <c r="I1" s="1" t="s">
        <v>17</v>
      </c>
    </row>
    <row r="2" spans="1:9" ht="32" x14ac:dyDescent="0.2">
      <c r="A2" s="1" t="s">
        <v>1</v>
      </c>
      <c r="B2" s="3"/>
      <c r="C2" s="3"/>
      <c r="D2" s="1" t="s">
        <v>62</v>
      </c>
      <c r="E2" s="15" t="s">
        <v>66</v>
      </c>
      <c r="F2" s="4">
        <f>overview_grade!B2</f>
        <v>1</v>
      </c>
      <c r="G2" s="4">
        <v>0</v>
      </c>
      <c r="H2" s="4">
        <v>0</v>
      </c>
      <c r="I2" s="2"/>
    </row>
    <row r="3" spans="1:9" s="7" customFormat="1" ht="144" x14ac:dyDescent="0.2">
      <c r="A3" s="5" t="s">
        <v>50</v>
      </c>
      <c r="B3" s="5" t="s">
        <v>28</v>
      </c>
      <c r="C3" s="5" t="s">
        <v>6</v>
      </c>
      <c r="D3" s="5" t="s">
        <v>53</v>
      </c>
      <c r="E3" s="5" t="s">
        <v>63</v>
      </c>
      <c r="F3" s="6"/>
      <c r="G3" s="6"/>
      <c r="H3" s="6"/>
      <c r="I3" s="2"/>
    </row>
    <row r="4" spans="1:9" ht="32" x14ac:dyDescent="0.2">
      <c r="A4" s="1" t="s">
        <v>19</v>
      </c>
      <c r="B4" s="2"/>
      <c r="C4" s="2"/>
      <c r="D4" s="10" t="s">
        <v>67</v>
      </c>
      <c r="E4" s="10" t="s">
        <v>68</v>
      </c>
      <c r="F4" s="4">
        <f>overview_grade!B3</f>
        <v>1</v>
      </c>
      <c r="G4" s="4">
        <v>0</v>
      </c>
      <c r="H4" s="4">
        <v>0</v>
      </c>
      <c r="I4" s="2"/>
    </row>
    <row r="5" spans="1:9" s="7" customFormat="1" ht="160" x14ac:dyDescent="0.2">
      <c r="A5" s="5" t="s">
        <v>26</v>
      </c>
      <c r="B5" s="5" t="s">
        <v>27</v>
      </c>
      <c r="C5" s="5" t="s">
        <v>49</v>
      </c>
      <c r="D5" s="5" t="s">
        <v>60</v>
      </c>
      <c r="E5" s="5" t="s">
        <v>61</v>
      </c>
      <c r="F5" s="6"/>
      <c r="G5" s="6"/>
      <c r="H5" s="6"/>
      <c r="I5" s="2"/>
    </row>
    <row r="6" spans="1:9" ht="32" x14ac:dyDescent="0.2">
      <c r="A6" s="1" t="s">
        <v>3</v>
      </c>
      <c r="B6" s="2"/>
      <c r="C6" s="2"/>
      <c r="D6" s="10" t="s">
        <v>69</v>
      </c>
      <c r="E6" s="10" t="s">
        <v>70</v>
      </c>
      <c r="F6" s="4">
        <f>overview_grade!B4</f>
        <v>1</v>
      </c>
      <c r="G6" s="4">
        <v>0</v>
      </c>
      <c r="H6" s="4">
        <v>0</v>
      </c>
      <c r="I6" s="2"/>
    </row>
    <row r="7" spans="1:9" s="7" customFormat="1" ht="160" x14ac:dyDescent="0.2">
      <c r="A7" s="5" t="s">
        <v>46</v>
      </c>
      <c r="B7" s="5" t="s">
        <v>45</v>
      </c>
      <c r="C7" s="5" t="s">
        <v>44</v>
      </c>
      <c r="D7" s="5" t="s">
        <v>54</v>
      </c>
      <c r="E7" s="5" t="s">
        <v>55</v>
      </c>
      <c r="F7" s="6"/>
      <c r="G7" s="6"/>
      <c r="H7" s="6"/>
      <c r="I7" s="2"/>
    </row>
    <row r="8" spans="1:9" ht="32" x14ac:dyDescent="0.2">
      <c r="A8" s="1" t="s">
        <v>4</v>
      </c>
      <c r="B8" s="2"/>
      <c r="C8" s="10" t="s">
        <v>47</v>
      </c>
      <c r="D8" s="10" t="s">
        <v>48</v>
      </c>
      <c r="E8" s="10" t="s">
        <v>71</v>
      </c>
      <c r="F8" s="4">
        <f>overview_grade!B5</f>
        <v>1</v>
      </c>
      <c r="G8" s="4">
        <v>0</v>
      </c>
      <c r="H8" s="4">
        <v>0</v>
      </c>
      <c r="I8" s="2"/>
    </row>
    <row r="9" spans="1:9" s="7" customFormat="1" ht="208" x14ac:dyDescent="0.2">
      <c r="A9" s="5" t="s">
        <v>43</v>
      </c>
      <c r="B9" s="5" t="s">
        <v>56</v>
      </c>
      <c r="C9" s="5" t="s">
        <v>57</v>
      </c>
      <c r="D9" s="5" t="s">
        <v>58</v>
      </c>
      <c r="E9" s="5" t="s">
        <v>59</v>
      </c>
      <c r="F9" s="6"/>
      <c r="G9" s="6"/>
      <c r="H9" s="6"/>
      <c r="I9" s="2"/>
    </row>
    <row r="10" spans="1:9" ht="80" x14ac:dyDescent="0.2">
      <c r="A10" s="1" t="s">
        <v>5</v>
      </c>
      <c r="B10" s="2"/>
      <c r="C10" s="2"/>
      <c r="D10" s="10" t="s">
        <v>65</v>
      </c>
      <c r="E10" s="10" t="s">
        <v>72</v>
      </c>
      <c r="F10" s="4">
        <f>overview_grade!B6</f>
        <v>1</v>
      </c>
      <c r="G10" s="4">
        <v>0</v>
      </c>
      <c r="H10" s="4">
        <v>0</v>
      </c>
      <c r="I10" s="2"/>
    </row>
    <row r="11" spans="1:9" s="7" customFormat="1" ht="144" x14ac:dyDescent="0.2">
      <c r="A11" s="5" t="s">
        <v>0</v>
      </c>
      <c r="B11" s="5" t="s">
        <v>51</v>
      </c>
      <c r="C11" s="5" t="s">
        <v>52</v>
      </c>
      <c r="D11" s="5" t="s">
        <v>64</v>
      </c>
      <c r="E11" s="5" t="s">
        <v>73</v>
      </c>
      <c r="F11" s="6"/>
      <c r="G11" s="6"/>
      <c r="H11" s="6"/>
      <c r="I11" s="2"/>
    </row>
    <row r="12" spans="1:9" ht="16" x14ac:dyDescent="0.2">
      <c r="A12" s="10" t="s">
        <v>18</v>
      </c>
      <c r="B12" s="2"/>
      <c r="C12" s="2"/>
      <c r="D12" s="2"/>
      <c r="E12" s="2"/>
      <c r="F12" s="3">
        <f>SUM(F2,F4,F6,F8,F10)</f>
        <v>5</v>
      </c>
      <c r="G12" s="3">
        <f>SUM(F2*G2,F4*G4,F6*G6,F8*G8,F10*G10)</f>
        <v>0</v>
      </c>
      <c r="H12" s="3">
        <f>SUM(H2,H4,H6,H8,H10)</f>
        <v>0</v>
      </c>
      <c r="I12" s="2"/>
    </row>
  </sheetData>
  <pageMargins left="0.7" right="0.7" top="0.75" bottom="0.75" header="0.3" footer="0.3"/>
  <pageSetup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EC72A-44A9-4C96-AF81-A339C87B2AFE}">
  <dimension ref="A1:D6"/>
  <sheetViews>
    <sheetView zoomScale="98" workbookViewId="0">
      <selection activeCell="A6" sqref="A6:D6"/>
    </sheetView>
  </sheetViews>
  <sheetFormatPr baseColWidth="10" defaultColWidth="8.83203125" defaultRowHeight="15" x14ac:dyDescent="0.2"/>
  <cols>
    <col min="1" max="1" width="30.6640625" customWidth="1"/>
    <col min="2" max="2" width="63.6640625" bestFit="1" customWidth="1"/>
    <col min="3" max="3" width="63.33203125" customWidth="1"/>
    <col min="4" max="4" width="56.33203125" bestFit="1" customWidth="1"/>
  </cols>
  <sheetData>
    <row r="1" spans="1:4" x14ac:dyDescent="0.2">
      <c r="A1" t="s">
        <v>9</v>
      </c>
      <c r="B1" t="s">
        <v>10</v>
      </c>
      <c r="C1" t="s">
        <v>11</v>
      </c>
      <c r="D1" t="s">
        <v>12</v>
      </c>
    </row>
    <row r="2" spans="1:4" ht="176" x14ac:dyDescent="0.2">
      <c r="A2" s="8" t="s">
        <v>1</v>
      </c>
      <c r="B2" s="9" t="s">
        <v>30</v>
      </c>
      <c r="C2" s="9" t="s">
        <v>31</v>
      </c>
      <c r="D2" s="9" t="s">
        <v>32</v>
      </c>
    </row>
    <row r="3" spans="1:4" ht="128" x14ac:dyDescent="0.2">
      <c r="A3" s="8" t="s">
        <v>2</v>
      </c>
      <c r="B3" s="9" t="s">
        <v>29</v>
      </c>
      <c r="C3" s="9" t="s">
        <v>33</v>
      </c>
      <c r="D3" s="9" t="s">
        <v>34</v>
      </c>
    </row>
    <row r="4" spans="1:4" ht="176" x14ac:dyDescent="0.2">
      <c r="A4" s="8" t="s">
        <v>3</v>
      </c>
      <c r="B4" s="14" t="s">
        <v>35</v>
      </c>
      <c r="C4" s="9" t="s">
        <v>74</v>
      </c>
      <c r="D4" s="9" t="s">
        <v>75</v>
      </c>
    </row>
    <row r="5" spans="1:4" ht="128" x14ac:dyDescent="0.2">
      <c r="A5" s="8" t="s">
        <v>4</v>
      </c>
      <c r="B5" s="9" t="s">
        <v>15</v>
      </c>
      <c r="C5" s="9" t="s">
        <v>41</v>
      </c>
      <c r="D5" s="9" t="s">
        <v>42</v>
      </c>
    </row>
    <row r="6" spans="1:4" ht="128" x14ac:dyDescent="0.2">
      <c r="A6" s="8" t="s">
        <v>5</v>
      </c>
      <c r="B6" s="9" t="s">
        <v>16</v>
      </c>
      <c r="C6" s="9" t="s">
        <v>13</v>
      </c>
      <c r="D6" s="9" t="s">
        <v>14</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91464-A6AF-CD4D-936A-68A2685A8CD0}">
  <dimension ref="A1:I8"/>
  <sheetViews>
    <sheetView tabSelected="1" workbookViewId="0">
      <selection activeCell="D13" sqref="D13"/>
    </sheetView>
  </sheetViews>
  <sheetFormatPr baseColWidth="10" defaultRowHeight="15" x14ac:dyDescent="0.2"/>
  <cols>
    <col min="1" max="2" width="16.5" customWidth="1"/>
    <col min="3" max="3" width="24" customWidth="1"/>
    <col min="4" max="4" width="37.6640625" customWidth="1"/>
    <col min="5" max="7" width="30.1640625" customWidth="1"/>
    <col min="8" max="8" width="13.83203125" customWidth="1"/>
    <col min="9" max="9" width="55" customWidth="1"/>
  </cols>
  <sheetData>
    <row r="1" spans="1:9" ht="16" thickBot="1" x14ac:dyDescent="0.25">
      <c r="A1" s="16" t="s">
        <v>79</v>
      </c>
      <c r="B1" s="16" t="s">
        <v>87</v>
      </c>
      <c r="C1" s="16" t="s">
        <v>81</v>
      </c>
      <c r="D1" s="16" t="s">
        <v>80</v>
      </c>
      <c r="E1" s="17" t="s">
        <v>39</v>
      </c>
      <c r="F1" s="17" t="s">
        <v>40</v>
      </c>
      <c r="G1" s="17" t="s">
        <v>38</v>
      </c>
      <c r="H1" s="17" t="s">
        <v>8</v>
      </c>
      <c r="I1" s="18" t="s">
        <v>17</v>
      </c>
    </row>
    <row r="2" spans="1:9" ht="81" thickTop="1" x14ac:dyDescent="0.2">
      <c r="A2" s="20" t="s">
        <v>82</v>
      </c>
      <c r="B2" s="20" t="s">
        <v>85</v>
      </c>
      <c r="C2" s="20"/>
      <c r="D2" s="20"/>
      <c r="E2" s="23" t="s">
        <v>91</v>
      </c>
      <c r="F2" s="19" t="s">
        <v>90</v>
      </c>
      <c r="G2" s="19" t="s">
        <v>89</v>
      </c>
      <c r="H2" s="21" t="s">
        <v>88</v>
      </c>
      <c r="I2" s="22"/>
    </row>
    <row r="3" spans="1:9" ht="80" x14ac:dyDescent="0.2">
      <c r="A3" s="20" t="s">
        <v>82</v>
      </c>
      <c r="B3" s="20" t="s">
        <v>86</v>
      </c>
      <c r="C3" s="20"/>
      <c r="D3" s="20"/>
      <c r="E3" s="23" t="str">
        <f>E2</f>
        <v>Incorrect or substantially unclear; does not demonstrate sufficient understanding to explain the concept, justify the approach, or reason about changed conditions.</v>
      </c>
      <c r="F3" s="19" t="str">
        <f>F2</f>
        <v>Partially correct; demonstrates basic conceptual understanding, but the explanation, justification, or transfer reasoning is incomplete, vague, or only partly correct.</v>
      </c>
      <c r="G3" s="19" t="str">
        <f>G2</f>
        <v>Correct, precise, and to the point; clearly explains the concept, justifies the chosen approach, and correctly reasons about changed conditions.</v>
      </c>
      <c r="H3" s="21" t="s">
        <v>88</v>
      </c>
      <c r="I3" s="22"/>
    </row>
    <row r="4" spans="1:9" ht="80" x14ac:dyDescent="0.2">
      <c r="A4" s="20" t="s">
        <v>83</v>
      </c>
      <c r="B4" s="20" t="s">
        <v>85</v>
      </c>
      <c r="C4" s="20"/>
      <c r="D4" s="20"/>
      <c r="E4" s="23" t="str">
        <f>E2</f>
        <v>Incorrect or substantially unclear; does not demonstrate sufficient understanding to explain the concept, justify the approach, or reason about changed conditions.</v>
      </c>
      <c r="F4" s="19" t="str">
        <f>F2</f>
        <v>Partially correct; demonstrates basic conceptual understanding, but the explanation, justification, or transfer reasoning is incomplete, vague, or only partly correct.</v>
      </c>
      <c r="G4" s="19" t="str">
        <f>G2</f>
        <v>Correct, precise, and to the point; clearly explains the concept, justifies the chosen approach, and correctly reasons about changed conditions.</v>
      </c>
      <c r="H4" s="21" t="s">
        <v>88</v>
      </c>
      <c r="I4" s="22"/>
    </row>
    <row r="5" spans="1:9" ht="80" x14ac:dyDescent="0.2">
      <c r="A5" s="20" t="s">
        <v>83</v>
      </c>
      <c r="B5" s="20" t="s">
        <v>86</v>
      </c>
      <c r="C5" s="20"/>
      <c r="D5" s="20"/>
      <c r="E5" s="23" t="str">
        <f>E2</f>
        <v>Incorrect or substantially unclear; does not demonstrate sufficient understanding to explain the concept, justify the approach, or reason about changed conditions.</v>
      </c>
      <c r="F5" s="19" t="str">
        <f>F2</f>
        <v>Partially correct; demonstrates basic conceptual understanding, but the explanation, justification, or transfer reasoning is incomplete, vague, or only partly correct.</v>
      </c>
      <c r="G5" s="19" t="str">
        <f>G2</f>
        <v>Correct, precise, and to the point; clearly explains the concept, justifies the chosen approach, and correctly reasons about changed conditions.</v>
      </c>
      <c r="H5" s="21" t="s">
        <v>88</v>
      </c>
      <c r="I5" s="22"/>
    </row>
    <row r="6" spans="1:9" ht="80" x14ac:dyDescent="0.2">
      <c r="A6" s="20" t="s">
        <v>84</v>
      </c>
      <c r="B6" s="20" t="s">
        <v>85</v>
      </c>
      <c r="C6" s="20"/>
      <c r="D6" s="20"/>
      <c r="E6" s="23" t="str">
        <f>E2</f>
        <v>Incorrect or substantially unclear; does not demonstrate sufficient understanding to explain the concept, justify the approach, or reason about changed conditions.</v>
      </c>
      <c r="F6" s="19" t="str">
        <f>F2</f>
        <v>Partially correct; demonstrates basic conceptual understanding, but the explanation, justification, or transfer reasoning is incomplete, vague, or only partly correct.</v>
      </c>
      <c r="G6" s="19" t="str">
        <f>G2</f>
        <v>Correct, precise, and to the point; clearly explains the concept, justifies the chosen approach, and correctly reasons about changed conditions.</v>
      </c>
      <c r="H6" s="21" t="s">
        <v>88</v>
      </c>
      <c r="I6" s="22"/>
    </row>
    <row r="7" spans="1:9" ht="80" x14ac:dyDescent="0.2">
      <c r="A7" s="20" t="s">
        <v>84</v>
      </c>
      <c r="B7" s="20" t="s">
        <v>86</v>
      </c>
      <c r="C7" s="20"/>
      <c r="D7" s="20"/>
      <c r="E7" s="23" t="str">
        <f>E2</f>
        <v>Incorrect or substantially unclear; does not demonstrate sufficient understanding to explain the concept, justify the approach, or reason about changed conditions.</v>
      </c>
      <c r="F7" s="19" t="str">
        <f>F2</f>
        <v>Partially correct; demonstrates basic conceptual understanding, but the explanation, justification, or transfer reasoning is incomplete, vague, or only partly correct.</v>
      </c>
      <c r="G7" s="19" t="str">
        <f>G2</f>
        <v>Correct, precise, and to the point; clearly explains the concept, justifies the chosen approach, and correctly reasons about changed conditions.</v>
      </c>
      <c r="H7" s="21" t="s">
        <v>88</v>
      </c>
      <c r="I7" s="22"/>
    </row>
    <row r="8" spans="1:9" ht="16" x14ac:dyDescent="0.2">
      <c r="A8" s="25" t="s">
        <v>18</v>
      </c>
      <c r="B8" s="25"/>
      <c r="C8" s="25"/>
      <c r="D8" s="25"/>
      <c r="E8" s="25"/>
      <c r="F8" s="25"/>
      <c r="G8" s="25"/>
      <c r="H8" s="27">
        <f>H6+H5+H4+H3+H2+H7</f>
        <v>0</v>
      </c>
      <c r="I8" s="25"/>
    </row>
  </sheetData>
  <dataValidations count="1">
    <dataValidation type="list" allowBlank="1" showInputMessage="1" showErrorMessage="1" sqref="C2:C7" xr:uid="{8528467F-05E9-8C4F-A0CD-4E685CC2EED2}">
      <formula1>"Explain,Justify,Transfer"</formula1>
    </dataValidation>
  </dataValidation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14404779DB204842B1E0A6972ABBAB03" ma:contentTypeVersion="16" ma:contentTypeDescription="Ein neues Dokument erstellen." ma:contentTypeScope="" ma:versionID="d8fc27870d34e3b2b93ced011cb63aff">
  <xsd:schema xmlns:xsd="http://www.w3.org/2001/XMLSchema" xmlns:xs="http://www.w3.org/2001/XMLSchema" xmlns:p="http://schemas.microsoft.com/office/2006/metadata/properties" xmlns:ns2="2a23c68f-a610-4cf0-be32-d8fa933a1337" xmlns:ns3="76f780aa-2d06-4e38-b1e0-203efab4445e" targetNamespace="http://schemas.microsoft.com/office/2006/metadata/properties" ma:root="true" ma:fieldsID="18e50f2902a1c401d314d3fe69b08258" ns2:_="" ns3:_="">
    <xsd:import namespace="2a23c68f-a610-4cf0-be32-d8fa933a1337"/>
    <xsd:import namespace="76f780aa-2d06-4e38-b1e0-203efab4445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SearchPropertie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23c68f-a610-4cf0-be32-d8fa933a13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ildmarkierungen" ma:readOnly="false" ma:fieldId="{5cf76f15-5ced-4ddc-b409-7134ff3c332f}" ma:taxonomyMulti="true" ma:sspId="7873907d-d049-4c15-acb6-7b8f2d6df67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f780aa-2d06-4e38-b1e0-203efab4445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c1089b4-3e42-41bd-a428-8fae0044f96c}" ma:internalName="TaxCatchAll" ma:showField="CatchAllData" ma:web="76f780aa-2d06-4e38-b1e0-203efab4445e">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a23c68f-a610-4cf0-be32-d8fa933a1337">
      <Terms xmlns="http://schemas.microsoft.com/office/infopath/2007/PartnerControls"/>
    </lcf76f155ced4ddcb4097134ff3c332f>
    <TaxCatchAll xmlns="76f780aa-2d06-4e38-b1e0-203efab4445e" xsi:nil="true"/>
    <SharedWithUsers xmlns="76f780aa-2d06-4e38-b1e0-203efab4445e">
      <UserInfo>
        <DisplayName/>
        <AccountId xsi:nil="true"/>
        <AccountType/>
      </UserInfo>
    </SharedWithUsers>
  </documentManagement>
</p:properties>
</file>

<file path=customXml/itemProps1.xml><?xml version="1.0" encoding="utf-8"?>
<ds:datastoreItem xmlns:ds="http://schemas.openxmlformats.org/officeDocument/2006/customXml" ds:itemID="{242ADB89-C8F3-4EB1-91ED-E3059777285C}">
  <ds:schemaRefs>
    <ds:schemaRef ds:uri="http://schemas.microsoft.com/sharepoint/v3/contenttype/forms"/>
  </ds:schemaRefs>
</ds:datastoreItem>
</file>

<file path=customXml/itemProps2.xml><?xml version="1.0" encoding="utf-8"?>
<ds:datastoreItem xmlns:ds="http://schemas.openxmlformats.org/officeDocument/2006/customXml" ds:itemID="{8F8E8420-1124-4AF1-964A-3EDD3EBF2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23c68f-a610-4cf0-be32-d8fa933a1337"/>
    <ds:schemaRef ds:uri="76f780aa-2d06-4e38-b1e0-203efab444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FECE0C-3BE0-47BB-A117-025CE9F06720}">
  <ds:schemaRefs>
    <ds:schemaRef ds:uri="http://purl.org/dc/elements/1.1/"/>
    <ds:schemaRef ds:uri="http://schemas.microsoft.com/office/2006/documentManagement/types"/>
    <ds:schemaRef ds:uri="http://www.w3.org/XML/1998/namespace"/>
    <ds:schemaRef ds:uri="http://schemas.microsoft.com/office/infopath/2007/PartnerControls"/>
    <ds:schemaRef ds:uri="http://purl.org/dc/terms/"/>
    <ds:schemaRef ds:uri="5a081e8b-0fa2-4168-b500-68ac02f407ad"/>
    <ds:schemaRef ds:uri="http://schemas.openxmlformats.org/package/2006/metadata/core-properties"/>
    <ds:schemaRef ds:uri="02978372-0e66-47ef-8e35-29bc77d09bcc"/>
    <ds:schemaRef ds:uri="http://schemas.microsoft.com/office/2006/metadata/properties"/>
    <ds:schemaRef ds:uri="http://purl.org/dc/dcmitype/"/>
    <ds:schemaRef ds:uri="2a23c68f-a610-4cf0-be32-d8fa933a1337"/>
    <ds:schemaRef ds:uri="76f780aa-2d06-4e38-b1e0-203efab4445e"/>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overview_grade</vt:lpstr>
      <vt:lpstr>task1</vt:lpstr>
      <vt:lpstr>task2</vt:lpstr>
      <vt:lpstr>task3</vt:lpstr>
      <vt:lpstr>gbsv_interpretations-indicators</vt:lpstr>
      <vt:lpstr>oral_assessment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Susanne Suter</dc:creator>
  <cp:lastModifiedBy>Susanne Suter</cp:lastModifiedBy>
  <dcterms:created xsi:type="dcterms:W3CDTF">2026-02-11T08:27:48Z</dcterms:created>
  <dcterms:modified xsi:type="dcterms:W3CDTF">2026-09-21T19:52:47Z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0x01010014404779DB204842B1E0A6972ABBAB03</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